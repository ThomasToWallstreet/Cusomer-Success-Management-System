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ursor\深圳区KA客户成功管理系统\原型文档\"/>
    </mc:Choice>
  </mc:AlternateContent>
  <xr:revisionPtr revIDLastSave="0" documentId="8_{D9410963-A56A-4D08-BCD7-CD4DBB5E4186}" xr6:coauthVersionLast="47" xr6:coauthVersionMax="47" xr10:uidLastSave="{00000000-0000-0000-0000-000000000000}"/>
  <bookViews>
    <workbookView xWindow="-30" yWindow="37" windowWidth="18000" windowHeight="10433" xr2:uid="{00000000-000D-0000-FFFF-FFFF00000000}"/>
  </bookViews>
  <sheets>
    <sheet name="客户明细" sheetId="1" r:id="rId1"/>
  </sheets>
  <definedNames>
    <definedName name="_xlnm._FilterDatabase" localSheetId="0">客户明细!$A$2:$W$32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<sst xmlns="http://schemas.openxmlformats.org/spreadsheetml/2006/main" count="240" uniqueCount="118">
  <si>
    <t>客户名称</t>
  </si>
  <si>
    <t>行业</t>
  </si>
  <si>
    <t>客户类型</t>
  </si>
  <si>
    <t>阶段</t>
  </si>
  <si>
    <t>年产能估算</t>
  </si>
  <si>
    <t>2025年预计产出</t>
  </si>
  <si>
    <t>2026年预期目标</t>
  </si>
  <si>
    <t>增长率</t>
  </si>
  <si>
    <t>2026年阵型（KA专职人员）</t>
  </si>
  <si>
    <t>25订单</t>
  </si>
  <si>
    <t>25业绩</t>
  </si>
  <si>
    <t>26订单</t>
  </si>
  <si>
    <t>26业绩</t>
  </si>
  <si>
    <t>订单</t>
  </si>
  <si>
    <t>业绩</t>
  </si>
  <si>
    <t>销售</t>
  </si>
  <si>
    <t>售前（安全）</t>
  </si>
  <si>
    <t>售前（云）</t>
  </si>
  <si>
    <t>比亚迪股份有限公司</t>
  </si>
  <si>
    <t>比亚迪汽车工业有限公司
深圳弗迪电池有限公司</t>
  </si>
  <si>
    <t>民企</t>
  </si>
  <si>
    <t>成长期</t>
  </si>
  <si>
    <t>刘海洋</t>
  </si>
  <si>
    <t>姜凯</t>
  </si>
  <si>
    <t>董俊</t>
  </si>
  <si>
    <t>黄子扬</t>
  </si>
  <si>
    <t>欣旺达电子股份有限公司</t>
  </si>
  <si>
    <t>欣旺达动力科技股份有限公司
惠州市盈旺精密技术股份有限公司
惠州锂威新能源科技有限公司</t>
  </si>
  <si>
    <t>熊欣甜</t>
  </si>
  <si>
    <t>黄隆</t>
  </si>
  <si>
    <t>黎锦添</t>
  </si>
  <si>
    <t>王刚</t>
  </si>
  <si>
    <t>中国广核集团有限公司</t>
  </si>
  <si>
    <t>中广核核电运营有限公司
中广核工程有限公司
中广核惠州核电有限公司
中广核研究院有限公司</t>
  </si>
  <si>
    <t>央国企</t>
  </si>
  <si>
    <t>肖璐琼</t>
  </si>
  <si>
    <t>张春雷</t>
  </si>
  <si>
    <t>华润（集团）有限公司</t>
  </si>
  <si>
    <t>曾智伟</t>
  </si>
  <si>
    <t>黄新</t>
  </si>
  <si>
    <t>汪洋</t>
  </si>
  <si>
    <t>招商局集团有限公司</t>
  </si>
  <si>
    <t>1.招商局港口集团股份有限公司
2.招商局国际科技有限公司
3.深圳市新南山控股（集团）股份有限公司
4.招商局工业集团有限公司</t>
  </si>
  <si>
    <t>孵化期</t>
  </si>
  <si>
    <t>谢玉溪</t>
  </si>
  <si>
    <t>张正平</t>
  </si>
  <si>
    <t>富士康科技集团</t>
  </si>
  <si>
    <t>1.准时达国际供应链管理有限公司
2.鹏鼎控股（深圳）有限公司
3.云智汇（深圳）高新科技服务有限公司
4. 富士康工业互联网股份有限公司</t>
  </si>
  <si>
    <t>深圳证券交易所</t>
  </si>
  <si>
    <t>深圳证券通信有限公司
深圳证券信息有限公司</t>
  </si>
  <si>
    <t>金融</t>
  </si>
  <si>
    <t>刘敏杰</t>
  </si>
  <si>
    <t>马瑞</t>
  </si>
  <si>
    <t>蔡晓森</t>
  </si>
  <si>
    <t>刘阳</t>
  </si>
  <si>
    <t>招商证券股份有限公司</t>
  </si>
  <si>
    <t>国信证券股份有限公司</t>
  </si>
  <si>
    <t>深圳农村商业银行股份有限公司</t>
  </si>
  <si>
    <t>前海兴邦金融租赁有限责任公司</t>
  </si>
  <si>
    <t>国投证券股份有限公司</t>
  </si>
  <si>
    <t>深圳市机场集团有限公司</t>
  </si>
  <si>
    <t>深圳机场国际货站有限公司
深圳市机场国内货站有限公司
深圳低空产业发展服务有限公司</t>
  </si>
  <si>
    <t>机场</t>
  </si>
  <si>
    <t>沈成</t>
  </si>
  <si>
    <t>深圳市智慧城市科技发展集团有限公司</t>
  </si>
  <si>
    <t>深圳市城市交通规划设计研究中心股份有限公司</t>
  </si>
  <si>
    <t>深圳航空有限责任公司</t>
  </si>
  <si>
    <t>深圳市深航货运有限公司
深圳市深航物业酒店管理有限公司</t>
  </si>
  <si>
    <t>航司</t>
  </si>
  <si>
    <t>深圳能源集团股份有限公司</t>
  </si>
  <si>
    <t>深圳能源环保股份有限公司
深能智慧能源科技有限公司</t>
  </si>
  <si>
    <t>能源</t>
  </si>
  <si>
    <t>林裕欢</t>
  </si>
  <si>
    <t>王跃海</t>
  </si>
  <si>
    <t>刘乐</t>
  </si>
  <si>
    <t>深圳市燃气集团股份有限公司</t>
  </si>
  <si>
    <t>深圳市赛易特信息技术有限公司</t>
  </si>
  <si>
    <t>深圳市大疆创新科技有限公司</t>
  </si>
  <si>
    <t>深圳市卓驭科技有限公司
深圳市大疆百旺科技有限公司
深圳市大疆软件科技有限公司</t>
  </si>
  <si>
    <t>张青军</t>
  </si>
  <si>
    <t>袁义金</t>
  </si>
  <si>
    <t>金鑫</t>
  </si>
  <si>
    <t>中航国际股份有限公司</t>
  </si>
  <si>
    <t>深南电路股份有限公司
天虹数科商业股份有限公司 
飞亚达精密科技股份有限公司</t>
  </si>
  <si>
    <t>左龙</t>
  </si>
  <si>
    <t>深圳市政政务服务和数据管理局</t>
  </si>
  <si>
    <t>数字政府</t>
  </si>
  <si>
    <t>张勇</t>
  </si>
  <si>
    <t>盐田国际集装箱码头有限公司</t>
  </si>
  <si>
    <t>深圳市盐田港集团有限公司
盐田港国际资讯有限公司</t>
  </si>
  <si>
    <t>港口</t>
  </si>
  <si>
    <t>朱成强</t>
  </si>
  <si>
    <t>顺丰控股股份有限公司</t>
  </si>
  <si>
    <t>顺丰航空有限公司
顺丰速运有限公司
顺丰科技有限公司</t>
  </si>
  <si>
    <t>伯恩光学（深圳）有限公司</t>
  </si>
  <si>
    <t>苟家健</t>
  </si>
  <si>
    <t>中国国际海运集装箱（集团）股份有限公司</t>
  </si>
  <si>
    <t>中集集团集装箱控股有限公司
中集天达控股（深圳）有限公司
中集车辆（集团）股份有限公司
中集集团财务有限公司</t>
  </si>
  <si>
    <t>影石创新科技股份有限公司</t>
  </si>
  <si>
    <t>深圳市景旺电子股份有限公司</t>
  </si>
  <si>
    <t>深圳市景弘瑞讯电子有限公司</t>
  </si>
  <si>
    <t>沃尔玛（深圳）百货有限公司</t>
  </si>
  <si>
    <t>中兴通讯股份有限公司</t>
  </si>
  <si>
    <t>北京兴云数科技术有限公司 
中兴终端有限公司 
深圳市中兴康讯电子有限公司</t>
  </si>
  <si>
    <t>鹏城国家实验室</t>
  </si>
  <si>
    <t>科研</t>
  </si>
  <si>
    <t>TCL科技集团股份有限公司</t>
  </si>
  <si>
    <t>TCL华星光电技术有限公司
TCL实业控股股份有限公司
TCL科技集团股份有限公司
TCL空调器有限公司
深圳市雷鸟网络科技有限公司</t>
  </si>
  <si>
    <t>陈泓宇</t>
  </si>
  <si>
    <t>深圳迈瑞生物医疗电子股份有限公司</t>
  </si>
  <si>
    <t>深圳迈瑞动物医疗科技有限公司</t>
  </si>
  <si>
    <t>深圳市交易集团</t>
  </si>
  <si>
    <t>深圳数据交易所有限公司
深圳市联合产权交易所</t>
  </si>
  <si>
    <t>GKA</t>
    <phoneticPr fontId="4" type="noConversion"/>
  </si>
  <si>
    <t>LKA</t>
    <phoneticPr fontId="4" type="noConversion"/>
  </si>
  <si>
    <t>泛KA</t>
    <phoneticPr fontId="4" type="noConversion"/>
  </si>
  <si>
    <t>集团客户重点分支</t>
    <phoneticPr fontId="4" type="noConversion"/>
  </si>
  <si>
    <t>大客户服务经理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</si>
</sst>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宋体"/>
      <charset val="134"/>
      <scheme val="minor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0">
      <alignment vertical="center"/>
    </xf>
    <xf numFmtId="9" fontId="3" fillId="3" borderId="10" applyFont="0" applyFill="0" applyBorder="0" applyAlignment="0" applyProtection="0">
      <alignment vertical="center"/>
    </xf>
  </cellStyleXfs>
  <cellXfs count="36">
    <xf numFmtId="0" fontId="0" fillId="0" borderId="0" xfId="0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9" fontId="1" fillId="3" borderId="4" xfId="1" applyFont="1" applyBorder="1" applyAlignment="1">
      <alignment horizontal="center" vertical="center"/>
    </xf>
    <xf numFmtId="9" fontId="1" fillId="3" borderId="8" xfId="1" applyFont="1" applyBorder="1" applyAlignment="1">
      <alignment horizontal="center" vertical="center"/>
    </xf>
    <xf numFmtId="0" fontId="1" fillId="0" borderId="1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/>
    </xf>
    <xf numFmtId="0" fontId="1" fillId="3" borderId="11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left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zoomScale="85" zoomScaleNormal="85" workbookViewId="0">
      <pane xSplit="1" ySplit="2" topLeftCell="B3" activePane="bottomRight" state="frozen"/>
      <selection pane="topRight"/>
      <selection pane="bottomLeft"/>
      <selection pane="bottomRight" activeCell="D1" sqref="D1:D1048576"/>
    </sheetView>
  </sheetViews>
  <sheetFormatPr defaultColWidth="11" defaultRowHeight="20" customHeight="1" x14ac:dyDescent="0.3"/>
  <cols>
    <col min="1" max="1" width="41.28515625" style="10" customWidth="1"/>
    <col min="2" max="2" width="46.140625" style="12" customWidth="1"/>
    <col min="3" max="3" width="20.5703125" style="10" customWidth="1"/>
    <col min="4" max="5" width="13.92578125" style="10" customWidth="1"/>
    <col min="6" max="6" width="13.28515625" style="10" customWidth="1"/>
    <col min="7" max="12" width="13.42578125" style="10" customWidth="1"/>
    <col min="13" max="13" width="20.92578125" style="13" customWidth="1"/>
    <col min="14" max="15" width="16.35546875" style="13" customWidth="1"/>
    <col min="16" max="16" width="16.35546875" style="10" customWidth="1"/>
    <col min="17" max="23" width="11" style="10"/>
  </cols>
  <sheetData>
    <row r="1" spans="1:23" s="10" customFormat="1" ht="31.05" customHeight="1" x14ac:dyDescent="0.3">
      <c r="A1" s="19" t="s">
        <v>0</v>
      </c>
      <c r="B1" s="24" t="s">
        <v>116</v>
      </c>
      <c r="C1" s="21" t="s">
        <v>1</v>
      </c>
      <c r="D1" s="21" t="s">
        <v>2</v>
      </c>
      <c r="E1" s="19" t="s">
        <v>3</v>
      </c>
      <c r="F1" s="21" t="s">
        <v>4</v>
      </c>
      <c r="G1" s="14" t="s">
        <v>5</v>
      </c>
      <c r="H1" s="15"/>
      <c r="I1" s="16" t="s">
        <v>6</v>
      </c>
      <c r="J1" s="17"/>
      <c r="K1" s="14" t="s">
        <v>7</v>
      </c>
      <c r="L1" s="18"/>
      <c r="M1" s="28" t="s">
        <v>8</v>
      </c>
      <c r="N1" s="29"/>
      <c r="O1" s="29"/>
      <c r="P1" s="29"/>
    </row>
    <row r="2" spans="1:23" s="10" customFormat="1" ht="31.05" customHeight="1" x14ac:dyDescent="0.3">
      <c r="A2" s="20"/>
      <c r="B2" s="25"/>
      <c r="C2" s="22"/>
      <c r="D2" s="22"/>
      <c r="E2" s="20"/>
      <c r="F2" s="22"/>
      <c r="G2" s="2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3" t="s">
        <v>14</v>
      </c>
      <c r="M2" s="30" t="s">
        <v>15</v>
      </c>
      <c r="N2" s="30" t="s">
        <v>16</v>
      </c>
      <c r="O2" s="31" t="s">
        <v>17</v>
      </c>
      <c r="P2" s="32" t="s">
        <v>117</v>
      </c>
    </row>
    <row r="3" spans="1:23" s="10" customFormat="1" ht="20" customHeight="1" x14ac:dyDescent="0.3">
      <c r="A3" s="1" t="s">
        <v>18</v>
      </c>
      <c r="B3" s="26" t="s">
        <v>19</v>
      </c>
      <c r="C3" s="4" t="s">
        <v>20</v>
      </c>
      <c r="D3" s="23" t="s">
        <v>113</v>
      </c>
      <c r="E3" s="4" t="s">
        <v>21</v>
      </c>
      <c r="F3" s="4"/>
      <c r="G3" s="4">
        <v>3260</v>
      </c>
      <c r="H3" s="4">
        <v>2356</v>
      </c>
      <c r="I3" s="4">
        <v>1600</v>
      </c>
      <c r="J3" s="2">
        <v>1500</v>
      </c>
      <c r="K3" s="5">
        <f t="shared" ref="K3:K33" si="0">I3/G3-1</f>
        <v>-0.50920245398773001</v>
      </c>
      <c r="L3" s="6">
        <f t="shared" ref="L3:L33" si="1">J3/H3-1</f>
        <v>-0.36332767402376909</v>
      </c>
      <c r="M3" s="33" t="s">
        <v>22</v>
      </c>
      <c r="N3" s="33" t="s">
        <v>23</v>
      </c>
      <c r="O3" s="33" t="s">
        <v>24</v>
      </c>
      <c r="P3" s="33" t="s">
        <v>25</v>
      </c>
      <c r="Q3" s="7"/>
      <c r="R3" s="7"/>
      <c r="S3" s="7"/>
      <c r="T3" s="7"/>
      <c r="U3" s="7"/>
      <c r="V3" s="7"/>
      <c r="W3" s="7"/>
    </row>
    <row r="4" spans="1:23" s="10" customFormat="1" ht="20" customHeight="1" x14ac:dyDescent="0.3">
      <c r="A4" s="1" t="s">
        <v>26</v>
      </c>
      <c r="B4" s="26" t="s">
        <v>27</v>
      </c>
      <c r="C4" s="4" t="s">
        <v>20</v>
      </c>
      <c r="D4" s="23" t="s">
        <v>114</v>
      </c>
      <c r="E4" s="4" t="s">
        <v>21</v>
      </c>
      <c r="F4" s="4"/>
      <c r="G4" s="4">
        <v>873</v>
      </c>
      <c r="H4" s="4">
        <v>589</v>
      </c>
      <c r="I4" s="4">
        <v>800</v>
      </c>
      <c r="J4" s="2">
        <v>650</v>
      </c>
      <c r="K4" s="5">
        <f t="shared" si="0"/>
        <v>-8.3619702176403243E-2</v>
      </c>
      <c r="L4" s="6">
        <f t="shared" si="1"/>
        <v>0.10356536502546687</v>
      </c>
      <c r="M4" s="33" t="s">
        <v>28</v>
      </c>
      <c r="N4" s="33" t="s">
        <v>29</v>
      </c>
      <c r="O4" s="34" t="s">
        <v>30</v>
      </c>
      <c r="P4" s="33" t="s">
        <v>31</v>
      </c>
      <c r="Q4" s="7"/>
      <c r="R4" s="7"/>
      <c r="S4" s="7"/>
      <c r="T4" s="7"/>
      <c r="U4" s="7"/>
      <c r="V4" s="7"/>
      <c r="W4" s="7"/>
    </row>
    <row r="5" spans="1:23" s="10" customFormat="1" ht="60" customHeight="1" x14ac:dyDescent="0.3">
      <c r="A5" s="1" t="s">
        <v>32</v>
      </c>
      <c r="B5" s="26" t="s">
        <v>33</v>
      </c>
      <c r="C5" s="4" t="s">
        <v>34</v>
      </c>
      <c r="D5" s="23" t="s">
        <v>115</v>
      </c>
      <c r="E5" s="4" t="s">
        <v>21</v>
      </c>
      <c r="F5" s="4"/>
      <c r="G5" s="4">
        <v>575</v>
      </c>
      <c r="H5" s="4">
        <v>473</v>
      </c>
      <c r="I5" s="4">
        <v>700</v>
      </c>
      <c r="J5" s="4">
        <v>600</v>
      </c>
      <c r="K5" s="5">
        <f t="shared" si="0"/>
        <v>0.21739130434782616</v>
      </c>
      <c r="L5" s="6">
        <f t="shared" si="1"/>
        <v>0.2684989429175475</v>
      </c>
      <c r="M5" s="33" t="s">
        <v>35</v>
      </c>
      <c r="N5" s="33" t="s">
        <v>36</v>
      </c>
      <c r="O5" s="35" t="s">
        <v>36</v>
      </c>
      <c r="P5" s="33" t="s">
        <v>31</v>
      </c>
      <c r="Q5" s="7"/>
      <c r="R5" s="7"/>
      <c r="S5" s="7"/>
      <c r="T5" s="7"/>
      <c r="U5" s="7"/>
      <c r="V5" s="7"/>
      <c r="W5" s="7"/>
    </row>
    <row r="6" spans="1:23" s="10" customFormat="1" ht="20" customHeight="1" x14ac:dyDescent="0.3">
      <c r="A6" s="1" t="s">
        <v>37</v>
      </c>
      <c r="B6" s="27"/>
      <c r="C6" s="4" t="s">
        <v>34</v>
      </c>
      <c r="D6" s="4"/>
      <c r="E6" s="4" t="s">
        <v>21</v>
      </c>
      <c r="F6" s="4"/>
      <c r="G6" s="4">
        <v>906</v>
      </c>
      <c r="H6" s="4">
        <v>750</v>
      </c>
      <c r="I6" s="4">
        <v>1400</v>
      </c>
      <c r="J6" s="2">
        <v>1300</v>
      </c>
      <c r="K6" s="5">
        <f t="shared" si="0"/>
        <v>0.54525386313465773</v>
      </c>
      <c r="L6" s="6">
        <f t="shared" si="1"/>
        <v>0.73333333333333339</v>
      </c>
      <c r="M6" s="33" t="s">
        <v>38</v>
      </c>
      <c r="N6" s="33" t="s">
        <v>39</v>
      </c>
      <c r="O6" s="33" t="s">
        <v>24</v>
      </c>
      <c r="P6" s="33" t="s">
        <v>40</v>
      </c>
      <c r="Q6" s="7"/>
      <c r="R6" s="7"/>
      <c r="S6" s="7"/>
      <c r="T6" s="7"/>
      <c r="U6" s="7"/>
      <c r="V6" s="7"/>
      <c r="W6" s="7"/>
    </row>
    <row r="7" spans="1:23" s="10" customFormat="1" ht="20" customHeight="1" x14ac:dyDescent="0.3">
      <c r="A7" s="1" t="s">
        <v>41</v>
      </c>
      <c r="B7" s="26" t="s">
        <v>42</v>
      </c>
      <c r="C7" s="4" t="s">
        <v>34</v>
      </c>
      <c r="D7" s="4"/>
      <c r="E7" s="4" t="s">
        <v>43</v>
      </c>
      <c r="F7" s="4"/>
      <c r="G7" s="4">
        <v>400</v>
      </c>
      <c r="H7" s="4">
        <v>305</v>
      </c>
      <c r="I7" s="4">
        <v>700</v>
      </c>
      <c r="J7" s="2">
        <v>700</v>
      </c>
      <c r="K7" s="5">
        <f t="shared" si="0"/>
        <v>0.75</v>
      </c>
      <c r="L7" s="6">
        <f t="shared" si="1"/>
        <v>1.2950819672131146</v>
      </c>
      <c r="M7" s="33" t="s">
        <v>44</v>
      </c>
      <c r="N7" s="33" t="s">
        <v>23</v>
      </c>
      <c r="O7" s="33" t="s">
        <v>24</v>
      </c>
      <c r="P7" s="33" t="s">
        <v>45</v>
      </c>
      <c r="Q7" s="7"/>
      <c r="R7" s="7"/>
      <c r="S7" s="7"/>
      <c r="T7" s="7"/>
      <c r="U7" s="7"/>
      <c r="V7" s="7"/>
      <c r="W7" s="7"/>
    </row>
    <row r="8" spans="1:23" s="10" customFormat="1" ht="20" customHeight="1" x14ac:dyDescent="0.3">
      <c r="A8" s="1" t="s">
        <v>46</v>
      </c>
      <c r="B8" s="26" t="s">
        <v>47</v>
      </c>
      <c r="C8" s="4" t="s">
        <v>20</v>
      </c>
      <c r="D8" s="4"/>
      <c r="E8" s="4" t="s">
        <v>43</v>
      </c>
      <c r="F8" s="4"/>
      <c r="G8" s="4">
        <v>346</v>
      </c>
      <c r="H8" s="4">
        <v>397</v>
      </c>
      <c r="I8" s="4">
        <v>600</v>
      </c>
      <c r="J8" s="2">
        <v>600</v>
      </c>
      <c r="K8" s="5">
        <f t="shared" si="0"/>
        <v>0.73410404624277459</v>
      </c>
      <c r="L8" s="6">
        <f t="shared" si="1"/>
        <v>0.51133501259445846</v>
      </c>
      <c r="M8" s="34" t="s">
        <v>44</v>
      </c>
      <c r="N8" s="34" t="s">
        <v>23</v>
      </c>
      <c r="O8" s="34" t="s">
        <v>24</v>
      </c>
      <c r="P8" s="33" t="s">
        <v>31</v>
      </c>
      <c r="Q8" s="7"/>
      <c r="R8" s="7"/>
      <c r="S8" s="7"/>
      <c r="T8" s="7"/>
      <c r="U8" s="7"/>
      <c r="V8" s="7"/>
      <c r="W8" s="7"/>
    </row>
    <row r="9" spans="1:23" s="10" customFormat="1" ht="20" customHeight="1" x14ac:dyDescent="0.3">
      <c r="A9" s="1" t="s">
        <v>48</v>
      </c>
      <c r="B9" s="26" t="s">
        <v>49</v>
      </c>
      <c r="C9" s="4" t="s">
        <v>50</v>
      </c>
      <c r="D9" s="4"/>
      <c r="E9" s="4" t="s">
        <v>43</v>
      </c>
      <c r="F9" s="4"/>
      <c r="G9" s="4">
        <v>262</v>
      </c>
      <c r="H9" s="4">
        <v>261</v>
      </c>
      <c r="I9" s="4">
        <v>400</v>
      </c>
      <c r="J9" s="2">
        <v>400</v>
      </c>
      <c r="K9" s="5">
        <f t="shared" si="0"/>
        <v>0.5267175572519085</v>
      </c>
      <c r="L9" s="6">
        <f t="shared" si="1"/>
        <v>0.53256704980842917</v>
      </c>
      <c r="M9" s="33" t="s">
        <v>51</v>
      </c>
      <c r="N9" s="33" t="s">
        <v>52</v>
      </c>
      <c r="O9" s="33" t="s">
        <v>53</v>
      </c>
      <c r="P9" s="33" t="s">
        <v>54</v>
      </c>
      <c r="Q9" s="7"/>
      <c r="R9" s="7"/>
      <c r="S9" s="7"/>
      <c r="T9" s="7"/>
      <c r="U9" s="7"/>
      <c r="V9" s="7"/>
      <c r="W9" s="7"/>
    </row>
    <row r="10" spans="1:23" s="10" customFormat="1" ht="20" customHeight="1" x14ac:dyDescent="0.3">
      <c r="A10" s="1" t="s">
        <v>55</v>
      </c>
      <c r="B10" s="27"/>
      <c r="C10" s="4" t="s">
        <v>50</v>
      </c>
      <c r="D10" s="4"/>
      <c r="E10" s="4" t="s">
        <v>21</v>
      </c>
      <c r="F10" s="4"/>
      <c r="G10" s="4">
        <v>367</v>
      </c>
      <c r="H10" s="4">
        <v>354</v>
      </c>
      <c r="I10" s="4">
        <v>700</v>
      </c>
      <c r="J10" s="2">
        <v>450</v>
      </c>
      <c r="K10" s="5">
        <f t="shared" si="0"/>
        <v>0.9073569482288828</v>
      </c>
      <c r="L10" s="6">
        <f t="shared" si="1"/>
        <v>0.27118644067796605</v>
      </c>
      <c r="M10" s="34" t="s">
        <v>51</v>
      </c>
      <c r="N10" s="34" t="s">
        <v>52</v>
      </c>
      <c r="O10" s="34" t="s">
        <v>53</v>
      </c>
      <c r="P10" s="33" t="s">
        <v>54</v>
      </c>
      <c r="Q10" s="7"/>
      <c r="R10" s="7"/>
      <c r="S10" s="7"/>
      <c r="T10" s="7"/>
      <c r="U10" s="7"/>
      <c r="V10" s="7"/>
      <c r="W10" s="7"/>
    </row>
    <row r="11" spans="1:23" s="10" customFormat="1" ht="20" customHeight="1" x14ac:dyDescent="0.3">
      <c r="A11" s="1" t="s">
        <v>56</v>
      </c>
      <c r="B11" s="27"/>
      <c r="C11" s="4" t="s">
        <v>50</v>
      </c>
      <c r="D11" s="4"/>
      <c r="E11" s="4" t="s">
        <v>43</v>
      </c>
      <c r="F11" s="4"/>
      <c r="G11" s="4">
        <v>52</v>
      </c>
      <c r="H11" s="4">
        <v>60</v>
      </c>
      <c r="I11" s="4">
        <v>300</v>
      </c>
      <c r="J11" s="2">
        <v>200</v>
      </c>
      <c r="K11" s="5">
        <f t="shared" si="0"/>
        <v>4.7692307692307692</v>
      </c>
      <c r="L11" s="6">
        <f t="shared" si="1"/>
        <v>2.3333333333333335</v>
      </c>
      <c r="M11" s="34" t="s">
        <v>51</v>
      </c>
      <c r="N11" s="34" t="s">
        <v>52</v>
      </c>
      <c r="O11" s="34" t="s">
        <v>53</v>
      </c>
      <c r="P11" s="33" t="s">
        <v>54</v>
      </c>
      <c r="Q11" s="7"/>
      <c r="R11" s="7"/>
      <c r="S11" s="7"/>
      <c r="T11" s="7"/>
      <c r="U11" s="7"/>
      <c r="V11" s="7"/>
      <c r="W11" s="7"/>
    </row>
    <row r="12" spans="1:23" s="10" customFormat="1" ht="20" customHeight="1" x14ac:dyDescent="0.3">
      <c r="A12" s="1" t="s">
        <v>57</v>
      </c>
      <c r="B12" s="26" t="s">
        <v>58</v>
      </c>
      <c r="C12" s="4" t="s">
        <v>50</v>
      </c>
      <c r="D12" s="4"/>
      <c r="E12" s="4" t="s">
        <v>43</v>
      </c>
      <c r="F12" s="4"/>
      <c r="G12" s="4">
        <v>309</v>
      </c>
      <c r="H12" s="4">
        <v>269</v>
      </c>
      <c r="I12" s="4">
        <v>300</v>
      </c>
      <c r="J12" s="2">
        <v>300</v>
      </c>
      <c r="K12" s="5">
        <f t="shared" si="0"/>
        <v>-2.9126213592232997E-2</v>
      </c>
      <c r="L12" s="6">
        <f t="shared" si="1"/>
        <v>0.11524163568773238</v>
      </c>
      <c r="M12" s="34" t="s">
        <v>51</v>
      </c>
      <c r="N12" s="34" t="s">
        <v>52</v>
      </c>
      <c r="O12" s="34" t="s">
        <v>53</v>
      </c>
      <c r="P12" s="33" t="s">
        <v>54</v>
      </c>
      <c r="Q12" s="7"/>
      <c r="R12" s="7"/>
      <c r="S12" s="7"/>
      <c r="T12" s="7"/>
      <c r="U12" s="7"/>
      <c r="V12" s="7"/>
      <c r="W12" s="7"/>
    </row>
    <row r="13" spans="1:23" s="10" customFormat="1" ht="20" customHeight="1" x14ac:dyDescent="0.3">
      <c r="A13" s="1" t="s">
        <v>59</v>
      </c>
      <c r="B13" s="27"/>
      <c r="C13" s="4" t="s">
        <v>50</v>
      </c>
      <c r="D13" s="4"/>
      <c r="E13" s="4" t="s">
        <v>43</v>
      </c>
      <c r="F13" s="4"/>
      <c r="G13" s="4">
        <v>133</v>
      </c>
      <c r="H13" s="4">
        <v>166</v>
      </c>
      <c r="I13" s="4">
        <v>250</v>
      </c>
      <c r="J13" s="2">
        <v>200</v>
      </c>
      <c r="K13" s="5">
        <f t="shared" si="0"/>
        <v>0.87969924812030076</v>
      </c>
      <c r="L13" s="6">
        <f t="shared" si="1"/>
        <v>0.20481927710843384</v>
      </c>
      <c r="M13" s="34" t="s">
        <v>51</v>
      </c>
      <c r="N13" s="34" t="s">
        <v>52</v>
      </c>
      <c r="O13" s="34" t="s">
        <v>53</v>
      </c>
      <c r="P13" s="33" t="s">
        <v>54</v>
      </c>
      <c r="Q13" s="7"/>
      <c r="R13" s="7"/>
      <c r="S13" s="7"/>
      <c r="T13" s="7"/>
      <c r="U13" s="7"/>
      <c r="V13" s="7"/>
      <c r="W13" s="7"/>
    </row>
    <row r="14" spans="1:23" s="10" customFormat="1" ht="20" customHeight="1" x14ac:dyDescent="0.3">
      <c r="A14" s="1" t="s">
        <v>60</v>
      </c>
      <c r="B14" s="26" t="s">
        <v>61</v>
      </c>
      <c r="C14" s="4" t="s">
        <v>62</v>
      </c>
      <c r="D14" s="4"/>
      <c r="E14" s="4" t="s">
        <v>43</v>
      </c>
      <c r="F14" s="4"/>
      <c r="G14" s="4">
        <v>100</v>
      </c>
      <c r="H14" s="4">
        <v>191</v>
      </c>
      <c r="I14" s="4">
        <v>300</v>
      </c>
      <c r="J14" s="4">
        <v>250</v>
      </c>
      <c r="K14" s="5">
        <f t="shared" si="0"/>
        <v>2</v>
      </c>
      <c r="L14" s="6">
        <f t="shared" si="1"/>
        <v>0.30890052356020936</v>
      </c>
      <c r="M14" s="33" t="s">
        <v>63</v>
      </c>
      <c r="N14" s="33" t="s">
        <v>52</v>
      </c>
      <c r="O14" s="34" t="s">
        <v>53</v>
      </c>
      <c r="P14" s="34"/>
      <c r="Q14" s="7"/>
      <c r="R14" s="7"/>
      <c r="S14" s="7"/>
      <c r="T14" s="7"/>
      <c r="U14" s="7"/>
      <c r="V14" s="7"/>
      <c r="W14" s="7"/>
    </row>
    <row r="15" spans="1:23" s="10" customFormat="1" ht="20" customHeight="1" x14ac:dyDescent="0.3">
      <c r="A15" s="1" t="s">
        <v>64</v>
      </c>
      <c r="B15" s="26" t="s">
        <v>65</v>
      </c>
      <c r="C15" s="4" t="s">
        <v>34</v>
      </c>
      <c r="D15" s="4"/>
      <c r="E15" s="4" t="s">
        <v>21</v>
      </c>
      <c r="F15" s="4"/>
      <c r="G15" s="4">
        <v>501</v>
      </c>
      <c r="H15" s="4">
        <v>427</v>
      </c>
      <c r="I15" s="4">
        <v>600</v>
      </c>
      <c r="J15" s="2">
        <v>550</v>
      </c>
      <c r="K15" s="5">
        <f t="shared" si="0"/>
        <v>0.19760479041916157</v>
      </c>
      <c r="L15" s="6">
        <f t="shared" si="1"/>
        <v>0.28805620608899307</v>
      </c>
      <c r="M15" s="34" t="s">
        <v>63</v>
      </c>
      <c r="N15" s="34" t="s">
        <v>52</v>
      </c>
      <c r="O15" s="34" t="s">
        <v>53</v>
      </c>
      <c r="P15" s="34"/>
      <c r="Q15" s="7"/>
      <c r="R15" s="7"/>
      <c r="S15" s="7"/>
      <c r="T15" s="7"/>
      <c r="U15" s="7"/>
      <c r="V15" s="7"/>
      <c r="W15" s="7"/>
    </row>
    <row r="16" spans="1:23" s="10" customFormat="1" ht="20" customHeight="1" x14ac:dyDescent="0.3">
      <c r="A16" s="1" t="s">
        <v>66</v>
      </c>
      <c r="B16" s="26" t="s">
        <v>67</v>
      </c>
      <c r="C16" s="4" t="s">
        <v>68</v>
      </c>
      <c r="D16" s="4"/>
      <c r="E16" s="4" t="s">
        <v>43</v>
      </c>
      <c r="F16" s="4"/>
      <c r="G16" s="4">
        <v>165</v>
      </c>
      <c r="H16" s="4">
        <v>200</v>
      </c>
      <c r="I16" s="4">
        <v>500</v>
      </c>
      <c r="J16" s="2">
        <v>300</v>
      </c>
      <c r="K16" s="5">
        <f t="shared" si="0"/>
        <v>2.0303030303030303</v>
      </c>
      <c r="L16" s="6">
        <f t="shared" si="1"/>
        <v>0.5</v>
      </c>
      <c r="M16" s="34" t="s">
        <v>63</v>
      </c>
      <c r="N16" s="33" t="s">
        <v>29</v>
      </c>
      <c r="O16" s="34" t="s">
        <v>53</v>
      </c>
      <c r="P16" s="34"/>
      <c r="Q16" s="7"/>
      <c r="R16" s="7"/>
      <c r="S16" s="7"/>
      <c r="T16" s="7"/>
      <c r="U16" s="7"/>
      <c r="V16" s="7"/>
      <c r="W16" s="7"/>
    </row>
    <row r="17" spans="1:23" s="10" customFormat="1" ht="20" customHeight="1" x14ac:dyDescent="0.3">
      <c r="A17" s="1" t="s">
        <v>69</v>
      </c>
      <c r="B17" s="26" t="s">
        <v>70</v>
      </c>
      <c r="C17" s="4" t="s">
        <v>71</v>
      </c>
      <c r="D17" s="4"/>
      <c r="E17" s="4" t="s">
        <v>21</v>
      </c>
      <c r="F17" s="4"/>
      <c r="G17" s="4">
        <v>780</v>
      </c>
      <c r="H17" s="4">
        <v>598</v>
      </c>
      <c r="I17" s="8">
        <v>900</v>
      </c>
      <c r="J17" s="2">
        <v>700</v>
      </c>
      <c r="K17" s="5">
        <f t="shared" si="0"/>
        <v>0.15384615384615374</v>
      </c>
      <c r="L17" s="6">
        <f t="shared" si="1"/>
        <v>0.17056856187290981</v>
      </c>
      <c r="M17" s="33" t="s">
        <v>72</v>
      </c>
      <c r="N17" s="33" t="s">
        <v>73</v>
      </c>
      <c r="O17" s="33" t="s">
        <v>74</v>
      </c>
      <c r="P17" s="34"/>
      <c r="Q17" s="7"/>
      <c r="R17" s="7"/>
      <c r="S17" s="7"/>
      <c r="T17" s="7"/>
      <c r="U17" s="7"/>
      <c r="V17" s="7"/>
      <c r="W17" s="7"/>
    </row>
    <row r="18" spans="1:23" s="10" customFormat="1" ht="20" customHeight="1" x14ac:dyDescent="0.3">
      <c r="A18" s="1" t="s">
        <v>75</v>
      </c>
      <c r="B18" s="26" t="s">
        <v>76</v>
      </c>
      <c r="C18" s="4" t="s">
        <v>71</v>
      </c>
      <c r="D18" s="4"/>
      <c r="E18" s="4" t="s">
        <v>43</v>
      </c>
      <c r="F18" s="4"/>
      <c r="G18" s="4">
        <v>3</v>
      </c>
      <c r="H18" s="4">
        <v>3</v>
      </c>
      <c r="I18" s="4">
        <v>400</v>
      </c>
      <c r="J18" s="2">
        <v>300</v>
      </c>
      <c r="K18" s="5">
        <f t="shared" si="0"/>
        <v>132.33333333333334</v>
      </c>
      <c r="L18" s="6">
        <f t="shared" si="1"/>
        <v>99</v>
      </c>
      <c r="M18" s="34" t="s">
        <v>72</v>
      </c>
      <c r="N18" s="33" t="s">
        <v>73</v>
      </c>
      <c r="O18" s="33" t="s">
        <v>74</v>
      </c>
      <c r="P18" s="34"/>
      <c r="Q18" s="7"/>
      <c r="R18" s="7"/>
      <c r="S18" s="7"/>
      <c r="T18" s="7"/>
      <c r="U18" s="7"/>
      <c r="V18" s="7"/>
      <c r="W18" s="7"/>
    </row>
    <row r="19" spans="1:23" s="10" customFormat="1" ht="20" customHeight="1" x14ac:dyDescent="0.3">
      <c r="A19" s="9" t="s">
        <v>77</v>
      </c>
      <c r="B19" s="26" t="s">
        <v>78</v>
      </c>
      <c r="C19" s="4" t="s">
        <v>20</v>
      </c>
      <c r="D19" s="4"/>
      <c r="E19" s="4" t="s">
        <v>43</v>
      </c>
      <c r="F19" s="4"/>
      <c r="G19" s="4">
        <v>233</v>
      </c>
      <c r="H19" s="4">
        <v>225</v>
      </c>
      <c r="I19" s="4">
        <v>350</v>
      </c>
      <c r="J19" s="2">
        <v>350</v>
      </c>
      <c r="K19" s="5">
        <f t="shared" si="0"/>
        <v>0.50214592274678105</v>
      </c>
      <c r="L19" s="6">
        <f t="shared" si="1"/>
        <v>0.55555555555555558</v>
      </c>
      <c r="M19" s="33" t="s">
        <v>79</v>
      </c>
      <c r="N19" s="33" t="s">
        <v>80</v>
      </c>
      <c r="O19" s="33" t="s">
        <v>81</v>
      </c>
      <c r="P19" s="33" t="s">
        <v>25</v>
      </c>
      <c r="Q19" s="7"/>
      <c r="R19" s="7"/>
      <c r="S19" s="7"/>
      <c r="T19" s="7"/>
      <c r="U19" s="7"/>
      <c r="V19" s="7"/>
      <c r="W19" s="7"/>
    </row>
    <row r="20" spans="1:23" s="10" customFormat="1" ht="20" customHeight="1" x14ac:dyDescent="0.3">
      <c r="A20" s="1" t="s">
        <v>82</v>
      </c>
      <c r="B20" s="26" t="s">
        <v>83</v>
      </c>
      <c r="C20" s="4" t="s">
        <v>34</v>
      </c>
      <c r="D20" s="4"/>
      <c r="E20" s="4" t="s">
        <v>21</v>
      </c>
      <c r="F20" s="4"/>
      <c r="G20" s="4">
        <v>884</v>
      </c>
      <c r="H20" s="4">
        <v>588</v>
      </c>
      <c r="I20" s="4">
        <v>700</v>
      </c>
      <c r="J20" s="2">
        <v>400</v>
      </c>
      <c r="K20" s="5">
        <f t="shared" si="0"/>
        <v>-0.20814479638009054</v>
      </c>
      <c r="L20" s="6">
        <f t="shared" si="1"/>
        <v>-0.31972789115646261</v>
      </c>
      <c r="M20" s="34" t="s">
        <v>84</v>
      </c>
      <c r="N20" s="33" t="s">
        <v>80</v>
      </c>
      <c r="O20" s="33" t="s">
        <v>81</v>
      </c>
      <c r="P20" s="34"/>
      <c r="Q20" s="7"/>
      <c r="R20" s="7"/>
      <c r="S20" s="7"/>
      <c r="T20" s="7"/>
      <c r="U20" s="7"/>
      <c r="V20" s="7"/>
      <c r="W20" s="7"/>
    </row>
    <row r="21" spans="1:23" s="10" customFormat="1" ht="20" customHeight="1" x14ac:dyDescent="0.3">
      <c r="A21" s="1" t="s">
        <v>85</v>
      </c>
      <c r="B21" s="27"/>
      <c r="C21" s="4" t="s">
        <v>86</v>
      </c>
      <c r="D21" s="4"/>
      <c r="E21" s="4" t="s">
        <v>43</v>
      </c>
      <c r="F21" s="4"/>
      <c r="G21" s="4">
        <v>156</v>
      </c>
      <c r="H21" s="4">
        <v>197</v>
      </c>
      <c r="I21" s="4">
        <v>900</v>
      </c>
      <c r="J21" s="4">
        <v>900</v>
      </c>
      <c r="K21" s="5">
        <f t="shared" si="0"/>
        <v>4.7692307692307692</v>
      </c>
      <c r="L21" s="6">
        <f t="shared" si="1"/>
        <v>3.5685279187817258</v>
      </c>
      <c r="M21" s="33" t="s">
        <v>87</v>
      </c>
      <c r="N21" s="34"/>
      <c r="O21" s="34"/>
      <c r="P21" s="34"/>
      <c r="Q21" s="7"/>
      <c r="R21" s="7"/>
      <c r="S21" s="7"/>
      <c r="T21" s="7"/>
      <c r="U21" s="7"/>
      <c r="V21" s="7"/>
      <c r="W21" s="7"/>
    </row>
    <row r="22" spans="1:23" s="10" customFormat="1" ht="20" customHeight="1" x14ac:dyDescent="0.3">
      <c r="A22" s="9" t="s">
        <v>88</v>
      </c>
      <c r="B22" s="26" t="s">
        <v>89</v>
      </c>
      <c r="C22" s="4" t="s">
        <v>90</v>
      </c>
      <c r="D22" s="4"/>
      <c r="E22" s="4" t="s">
        <v>43</v>
      </c>
      <c r="F22" s="4"/>
      <c r="G22" s="4">
        <v>69</v>
      </c>
      <c r="H22" s="4">
        <v>72</v>
      </c>
      <c r="I22" s="4">
        <v>250</v>
      </c>
      <c r="J22" s="2">
        <v>200</v>
      </c>
      <c r="K22" s="5">
        <f t="shared" si="0"/>
        <v>2.6231884057971016</v>
      </c>
      <c r="L22" s="6">
        <f t="shared" si="1"/>
        <v>1.7777777777777777</v>
      </c>
      <c r="M22" s="33" t="s">
        <v>63</v>
      </c>
      <c r="N22" s="33" t="s">
        <v>52</v>
      </c>
      <c r="O22" s="33" t="s">
        <v>91</v>
      </c>
      <c r="P22" s="34"/>
      <c r="Q22" s="7"/>
      <c r="R22" s="7"/>
      <c r="S22" s="7"/>
      <c r="T22" s="7"/>
      <c r="U22" s="7"/>
      <c r="V22" s="7"/>
      <c r="W22" s="7"/>
    </row>
    <row r="23" spans="1:23" s="10" customFormat="1" ht="60" customHeight="1" x14ac:dyDescent="0.3">
      <c r="A23" s="9" t="s">
        <v>92</v>
      </c>
      <c r="B23" s="26" t="s">
        <v>93</v>
      </c>
      <c r="C23" s="4" t="s">
        <v>20</v>
      </c>
      <c r="D23" s="4"/>
      <c r="E23" s="4" t="s">
        <v>43</v>
      </c>
      <c r="F23" s="4"/>
      <c r="G23" s="4">
        <v>2</v>
      </c>
      <c r="H23" s="4">
        <v>2</v>
      </c>
      <c r="I23" s="4">
        <v>150</v>
      </c>
      <c r="J23" s="2">
        <v>100</v>
      </c>
      <c r="K23" s="5">
        <f t="shared" si="0"/>
        <v>74</v>
      </c>
      <c r="L23" s="6">
        <f t="shared" si="1"/>
        <v>49</v>
      </c>
      <c r="M23" s="33" t="s">
        <v>35</v>
      </c>
      <c r="N23" s="33" t="s">
        <v>36</v>
      </c>
      <c r="O23" s="35" t="s">
        <v>36</v>
      </c>
      <c r="P23" s="34"/>
      <c r="Q23" s="7"/>
      <c r="R23" s="7"/>
      <c r="S23" s="7"/>
      <c r="T23" s="7"/>
      <c r="U23" s="7"/>
      <c r="V23" s="7"/>
      <c r="W23" s="7"/>
    </row>
    <row r="24" spans="1:23" s="10" customFormat="1" ht="20" customHeight="1" x14ac:dyDescent="0.3">
      <c r="A24" s="9" t="s">
        <v>94</v>
      </c>
      <c r="B24" s="27"/>
      <c r="C24" s="4" t="s">
        <v>20</v>
      </c>
      <c r="D24" s="4"/>
      <c r="E24" s="4" t="s">
        <v>43</v>
      </c>
      <c r="F24" s="4"/>
      <c r="G24" s="4">
        <v>12</v>
      </c>
      <c r="H24" s="4">
        <v>35</v>
      </c>
      <c r="I24" s="4">
        <v>400</v>
      </c>
      <c r="J24" s="2">
        <v>200</v>
      </c>
      <c r="K24" s="5">
        <f t="shared" si="0"/>
        <v>32.333333333333336</v>
      </c>
      <c r="L24" s="6">
        <f t="shared" si="1"/>
        <v>4.7142857142857144</v>
      </c>
      <c r="M24" s="33" t="s">
        <v>95</v>
      </c>
      <c r="N24" s="33" t="s">
        <v>29</v>
      </c>
      <c r="O24" s="33" t="s">
        <v>30</v>
      </c>
      <c r="P24" s="34"/>
      <c r="Q24" s="7"/>
      <c r="R24" s="7"/>
      <c r="S24" s="7"/>
      <c r="T24" s="7"/>
      <c r="U24" s="7"/>
      <c r="V24" s="7"/>
      <c r="W24" s="7"/>
    </row>
    <row r="25" spans="1:23" s="10" customFormat="1" ht="20" customHeight="1" x14ac:dyDescent="0.3">
      <c r="A25" s="9" t="s">
        <v>96</v>
      </c>
      <c r="B25" s="26" t="s">
        <v>97</v>
      </c>
      <c r="C25" s="4" t="s">
        <v>34</v>
      </c>
      <c r="D25" s="4"/>
      <c r="E25" s="4" t="s">
        <v>43</v>
      </c>
      <c r="F25" s="4"/>
      <c r="G25" s="4">
        <v>12</v>
      </c>
      <c r="H25" s="4">
        <v>12</v>
      </c>
      <c r="I25" s="4">
        <v>200</v>
      </c>
      <c r="J25" s="2">
        <v>200</v>
      </c>
      <c r="K25" s="5">
        <f t="shared" si="0"/>
        <v>15.666666666666668</v>
      </c>
      <c r="L25" s="6">
        <f t="shared" si="1"/>
        <v>15.666666666666668</v>
      </c>
      <c r="M25" s="33" t="s">
        <v>84</v>
      </c>
      <c r="N25" s="33" t="s">
        <v>73</v>
      </c>
      <c r="O25" s="33" t="s">
        <v>81</v>
      </c>
      <c r="P25" s="34"/>
      <c r="Q25" s="7"/>
      <c r="R25" s="7"/>
      <c r="S25" s="7"/>
      <c r="T25" s="7"/>
      <c r="U25" s="7"/>
      <c r="V25" s="7"/>
      <c r="W25" s="7"/>
    </row>
    <row r="26" spans="1:23" s="10" customFormat="1" ht="20" customHeight="1" x14ac:dyDescent="0.3">
      <c r="A26" s="9" t="s">
        <v>98</v>
      </c>
      <c r="B26" s="27"/>
      <c r="C26" s="4" t="s">
        <v>20</v>
      </c>
      <c r="D26" s="4"/>
      <c r="E26" s="4" t="s">
        <v>43</v>
      </c>
      <c r="F26" s="4"/>
      <c r="G26" s="4">
        <v>50</v>
      </c>
      <c r="H26" s="4">
        <v>81</v>
      </c>
      <c r="I26" s="4">
        <v>300</v>
      </c>
      <c r="J26" s="4">
        <v>300</v>
      </c>
      <c r="K26" s="5">
        <f t="shared" si="0"/>
        <v>5</v>
      </c>
      <c r="L26" s="6">
        <f t="shared" si="1"/>
        <v>2.7037037037037037</v>
      </c>
      <c r="M26" s="33" t="s">
        <v>22</v>
      </c>
      <c r="N26" s="33" t="s">
        <v>39</v>
      </c>
      <c r="O26" s="33" t="s">
        <v>24</v>
      </c>
      <c r="P26" s="34"/>
      <c r="Q26" s="7"/>
      <c r="R26" s="7"/>
      <c r="S26" s="7"/>
      <c r="T26" s="7"/>
      <c r="U26" s="7"/>
      <c r="V26" s="7"/>
      <c r="W26" s="7"/>
    </row>
    <row r="27" spans="1:23" s="10" customFormat="1" ht="20" customHeight="1" x14ac:dyDescent="0.3">
      <c r="A27" s="9" t="s">
        <v>99</v>
      </c>
      <c r="B27" s="26" t="s">
        <v>100</v>
      </c>
      <c r="C27" s="4" t="s">
        <v>20</v>
      </c>
      <c r="D27" s="4"/>
      <c r="E27" s="4" t="s">
        <v>43</v>
      </c>
      <c r="F27" s="4"/>
      <c r="G27" s="4">
        <v>350</v>
      </c>
      <c r="H27" s="4">
        <v>337</v>
      </c>
      <c r="I27" s="4">
        <v>700</v>
      </c>
      <c r="J27" s="2">
        <v>850</v>
      </c>
      <c r="K27" s="5">
        <f t="shared" si="0"/>
        <v>1</v>
      </c>
      <c r="L27" s="6">
        <f t="shared" si="1"/>
        <v>1.5222551928783381</v>
      </c>
      <c r="M27" s="33" t="s">
        <v>79</v>
      </c>
      <c r="N27" s="33" t="s">
        <v>80</v>
      </c>
      <c r="O27" s="33" t="s">
        <v>81</v>
      </c>
      <c r="P27" s="34"/>
      <c r="Q27" s="7"/>
      <c r="R27" s="7"/>
      <c r="S27" s="7"/>
      <c r="T27" s="7"/>
      <c r="U27" s="7"/>
      <c r="V27" s="7"/>
      <c r="W27" s="7"/>
    </row>
    <row r="28" spans="1:23" s="10" customFormat="1" ht="20" customHeight="1" x14ac:dyDescent="0.3">
      <c r="A28" s="9" t="s">
        <v>101</v>
      </c>
      <c r="B28" s="27"/>
      <c r="C28" s="4" t="s">
        <v>20</v>
      </c>
      <c r="D28" s="4"/>
      <c r="E28" s="4" t="s">
        <v>43</v>
      </c>
      <c r="F28" s="4"/>
      <c r="G28" s="4">
        <v>0</v>
      </c>
      <c r="H28" s="4">
        <v>403</v>
      </c>
      <c r="I28" s="4">
        <v>500</v>
      </c>
      <c r="J28" s="4">
        <v>300</v>
      </c>
      <c r="K28" s="5" t="e">
        <f t="shared" si="0"/>
        <v>#DIV/0!</v>
      </c>
      <c r="L28" s="6">
        <f t="shared" si="1"/>
        <v>-0.25558312655086846</v>
      </c>
      <c r="M28" s="33" t="s">
        <v>28</v>
      </c>
      <c r="N28" s="33" t="s">
        <v>29</v>
      </c>
      <c r="O28" s="33" t="s">
        <v>30</v>
      </c>
      <c r="P28" s="34"/>
      <c r="Q28" s="7"/>
      <c r="R28" s="7"/>
      <c r="S28" s="7"/>
      <c r="T28" s="7"/>
      <c r="U28" s="7"/>
      <c r="V28" s="7"/>
      <c r="W28" s="7"/>
    </row>
    <row r="29" spans="1:23" s="10" customFormat="1" ht="20" customHeight="1" x14ac:dyDescent="0.3">
      <c r="A29" s="9" t="s">
        <v>102</v>
      </c>
      <c r="B29" s="26" t="s">
        <v>103</v>
      </c>
      <c r="C29" s="4" t="s">
        <v>20</v>
      </c>
      <c r="D29" s="4"/>
      <c r="E29" s="4" t="s">
        <v>43</v>
      </c>
      <c r="F29" s="4"/>
      <c r="G29" s="4">
        <v>123</v>
      </c>
      <c r="H29" s="4">
        <v>123</v>
      </c>
      <c r="I29" s="4">
        <v>600</v>
      </c>
      <c r="J29" s="2">
        <v>450</v>
      </c>
      <c r="K29" s="5">
        <f t="shared" si="0"/>
        <v>3.8780487804878048</v>
      </c>
      <c r="L29" s="6">
        <f t="shared" si="1"/>
        <v>2.6585365853658538</v>
      </c>
      <c r="M29" s="33" t="s">
        <v>79</v>
      </c>
      <c r="N29" s="33" t="s">
        <v>80</v>
      </c>
      <c r="O29" s="33" t="s">
        <v>74</v>
      </c>
      <c r="P29" s="34"/>
      <c r="Q29" s="7"/>
      <c r="R29" s="7"/>
      <c r="S29" s="7"/>
      <c r="T29" s="7"/>
      <c r="U29" s="7"/>
      <c r="V29" s="7"/>
      <c r="W29" s="7"/>
    </row>
    <row r="30" spans="1:23" s="10" customFormat="1" ht="20" customHeight="1" x14ac:dyDescent="0.3">
      <c r="A30" s="9" t="s">
        <v>104</v>
      </c>
      <c r="B30" s="27"/>
      <c r="C30" s="4" t="s">
        <v>105</v>
      </c>
      <c r="D30" s="4"/>
      <c r="E30" s="4" t="s">
        <v>43</v>
      </c>
      <c r="F30" s="4"/>
      <c r="G30" s="4">
        <v>89</v>
      </c>
      <c r="H30" s="4">
        <v>89</v>
      </c>
      <c r="I30" s="4">
        <v>300</v>
      </c>
      <c r="J30" s="2">
        <v>250</v>
      </c>
      <c r="K30" s="5">
        <f t="shared" si="0"/>
        <v>2.3707865168539324</v>
      </c>
      <c r="L30" s="6">
        <f t="shared" si="1"/>
        <v>1.808988764044944</v>
      </c>
      <c r="M30" s="33" t="s">
        <v>84</v>
      </c>
      <c r="N30" s="33" t="s">
        <v>73</v>
      </c>
      <c r="O30" s="33" t="s">
        <v>74</v>
      </c>
      <c r="P30" s="34"/>
      <c r="Q30" s="7"/>
      <c r="R30" s="7"/>
      <c r="S30" s="7"/>
      <c r="T30" s="7"/>
      <c r="U30" s="7"/>
      <c r="V30" s="7"/>
      <c r="W30" s="7"/>
    </row>
    <row r="31" spans="1:23" s="10" customFormat="1" ht="20" customHeight="1" x14ac:dyDescent="0.3">
      <c r="A31" s="9" t="s">
        <v>106</v>
      </c>
      <c r="B31" s="26" t="s">
        <v>107</v>
      </c>
      <c r="C31" s="4" t="s">
        <v>20</v>
      </c>
      <c r="D31" s="4"/>
      <c r="E31" s="4" t="s">
        <v>43</v>
      </c>
      <c r="F31" s="4"/>
      <c r="G31" s="4">
        <v>46</v>
      </c>
      <c r="H31" s="4">
        <v>46</v>
      </c>
      <c r="I31" s="4">
        <v>300</v>
      </c>
      <c r="J31" s="4">
        <v>300</v>
      </c>
      <c r="K31" s="5">
        <f t="shared" si="0"/>
        <v>5.5217391304347823</v>
      </c>
      <c r="L31" s="6">
        <f t="shared" si="1"/>
        <v>5.5217391304347823</v>
      </c>
      <c r="M31" s="33" t="s">
        <v>108</v>
      </c>
      <c r="N31" s="33" t="s">
        <v>29</v>
      </c>
      <c r="O31" s="33" t="s">
        <v>91</v>
      </c>
      <c r="P31" s="34"/>
      <c r="Q31" s="7"/>
      <c r="R31" s="7"/>
      <c r="S31" s="7"/>
      <c r="T31" s="7"/>
      <c r="U31" s="7"/>
      <c r="V31" s="7"/>
      <c r="W31" s="7"/>
    </row>
    <row r="32" spans="1:23" s="10" customFormat="1" ht="20" customHeight="1" x14ac:dyDescent="0.3">
      <c r="A32" s="9" t="s">
        <v>109</v>
      </c>
      <c r="B32" s="26" t="s">
        <v>110</v>
      </c>
      <c r="C32" s="4" t="s">
        <v>20</v>
      </c>
      <c r="D32" s="4"/>
      <c r="E32" s="4" t="s">
        <v>43</v>
      </c>
      <c r="F32" s="4"/>
      <c r="G32" s="4">
        <v>30</v>
      </c>
      <c r="H32" s="4">
        <v>30</v>
      </c>
      <c r="I32" s="4">
        <v>300</v>
      </c>
      <c r="J32" s="2">
        <v>200</v>
      </c>
      <c r="K32" s="5">
        <f t="shared" si="0"/>
        <v>9</v>
      </c>
      <c r="L32" s="6">
        <f t="shared" si="1"/>
        <v>5.666666666666667</v>
      </c>
      <c r="M32" s="33" t="s">
        <v>95</v>
      </c>
      <c r="N32" s="33" t="s">
        <v>29</v>
      </c>
      <c r="O32" s="33" t="s">
        <v>91</v>
      </c>
      <c r="P32" s="34"/>
      <c r="Q32" s="7"/>
      <c r="R32" s="7"/>
      <c r="S32" s="7"/>
      <c r="T32" s="7"/>
      <c r="U32" s="7"/>
      <c r="V32" s="7"/>
      <c r="W32" s="7"/>
    </row>
    <row r="33" spans="1:23" s="11" customFormat="1" ht="20" customHeight="1" x14ac:dyDescent="0.3">
      <c r="A33" s="9" t="s">
        <v>111</v>
      </c>
      <c r="B33" s="26" t="s">
        <v>112</v>
      </c>
      <c r="C33" s="4"/>
      <c r="D33" s="4"/>
      <c r="E33" s="2" t="s">
        <v>43</v>
      </c>
      <c r="F33" s="4"/>
      <c r="G33" s="2">
        <v>106</v>
      </c>
      <c r="H33" s="2">
        <v>106</v>
      </c>
      <c r="I33" s="2">
        <v>150</v>
      </c>
      <c r="J33" s="2">
        <v>250</v>
      </c>
      <c r="K33" s="5">
        <f t="shared" si="0"/>
        <v>0.41509433962264142</v>
      </c>
      <c r="L33" s="6">
        <f t="shared" si="1"/>
        <v>1.358490566037736</v>
      </c>
      <c r="M33" s="33" t="s">
        <v>108</v>
      </c>
      <c r="N33" s="33" t="s">
        <v>29</v>
      </c>
      <c r="O33" s="33" t="s">
        <v>91</v>
      </c>
      <c r="P33" s="34"/>
      <c r="Q33" s="7"/>
      <c r="R33" s="7"/>
      <c r="S33" s="7"/>
      <c r="T33" s="7"/>
      <c r="U33" s="7"/>
      <c r="V33" s="7"/>
      <c r="W33" s="7"/>
    </row>
  </sheetData>
  <mergeCells count="10">
    <mergeCell ref="G1:H1"/>
    <mergeCell ref="I1:J1"/>
    <mergeCell ref="K1:L1"/>
    <mergeCell ref="M1:P1"/>
    <mergeCell ref="A1:A2"/>
    <mergeCell ref="B1:B2"/>
    <mergeCell ref="C1:C2"/>
    <mergeCell ref="D1:D2"/>
    <mergeCell ref="E1:E2"/>
    <mergeCell ref="F1:F2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客户明细</vt:lpstr>
      <vt:lpstr>客户明细!_FilterDatabase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Liu</dc:creator>
  <cp:lastModifiedBy>Thomas Liu</cp:lastModifiedBy>
  <dcterms:created xsi:type="dcterms:W3CDTF">2026-02-22T08:48:17Z</dcterms:created>
  <dcterms:modified xsi:type="dcterms:W3CDTF">2026-02-22T01:00:51Z</dcterms:modified>
</cp:coreProperties>
</file>